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edictasante/Desktop/"/>
    </mc:Choice>
  </mc:AlternateContent>
  <xr:revisionPtr revIDLastSave="0" documentId="8_{C8344311-5454-BD42-B555-E0C112D5E73C}" xr6:coauthVersionLast="47" xr6:coauthVersionMax="47" xr10:uidLastSave="{00000000-0000-0000-0000-000000000000}"/>
  <bookViews>
    <workbookView xWindow="0" yWindow="0" windowWidth="28800" windowHeight="18000" xr2:uid="{7B054ADF-9E21-634C-B6C3-26E0C5B37783}"/>
  </bookViews>
  <sheets>
    <sheet name="FARMS  (2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J4" i="1" l="1"/>
  <c r="X5" i="1"/>
  <c r="BG5" i="1"/>
  <c r="BH5" i="1"/>
  <c r="BJ5" i="1"/>
  <c r="BL5" i="1"/>
  <c r="BP5" i="1"/>
  <c r="BR5" i="1" s="1"/>
  <c r="BR7" i="1" s="1"/>
  <c r="M6" i="1"/>
  <c r="U6" i="1"/>
  <c r="X6" i="1" s="1"/>
  <c r="V16" i="1" s="1"/>
  <c r="U16" i="1" s="1"/>
  <c r="U17" i="1" s="1"/>
  <c r="BG6" i="1"/>
  <c r="BH6" i="1"/>
  <c r="BJ6" i="1"/>
  <c r="BL6" i="1"/>
  <c r="BP6" i="1"/>
  <c r="M7" i="1"/>
  <c r="U7" i="1"/>
  <c r="X7" i="1"/>
  <c r="BG7" i="1"/>
  <c r="BH7" i="1"/>
  <c r="BJ7" i="1"/>
  <c r="BL7" i="1"/>
  <c r="BP7" i="1"/>
  <c r="BH8" i="1"/>
  <c r="X9" i="1"/>
  <c r="BU9" i="1"/>
  <c r="M10" i="1"/>
  <c r="M24" i="1" s="1"/>
  <c r="N24" i="1" s="1"/>
  <c r="BF10" i="1"/>
  <c r="BF13" i="1" s="1"/>
  <c r="BJ10" i="1"/>
  <c r="BH13" i="1"/>
  <c r="BJ17" i="1"/>
  <c r="BU17" i="1"/>
  <c r="E24" i="1"/>
  <c r="BU27" i="1"/>
  <c r="BU31" i="1"/>
  <c r="BU37" i="1"/>
  <c r="X38" i="1"/>
  <c r="X39" i="1"/>
  <c r="X40" i="1"/>
  <c r="X41" i="1"/>
  <c r="BU44" i="1"/>
  <c r="BU48" i="1" s="1"/>
  <c r="X15" i="1" l="1"/>
  <c r="X17" i="1" s="1"/>
  <c r="W24" i="1" s="1"/>
  <c r="U24" i="1"/>
  <c r="BP9" i="1"/>
  <c r="U26" i="1" l="1"/>
  <c r="W26" i="1" s="1"/>
</calcChain>
</file>

<file path=xl/sharedStrings.xml><?xml version="1.0" encoding="utf-8"?>
<sst xmlns="http://schemas.openxmlformats.org/spreadsheetml/2006/main" count="278" uniqueCount="206">
  <si>
    <t xml:space="preserve">GRAND TOTAL </t>
  </si>
  <si>
    <t xml:space="preserve">Association </t>
  </si>
  <si>
    <t>Complete</t>
  </si>
  <si>
    <t>House Help</t>
  </si>
  <si>
    <t xml:space="preserve">Spraying </t>
  </si>
  <si>
    <t xml:space="preserve">Fuel Ram </t>
  </si>
  <si>
    <t>Hospital Bill</t>
  </si>
  <si>
    <t xml:space="preserve">Prince </t>
  </si>
  <si>
    <t xml:space="preserve">Complete </t>
  </si>
  <si>
    <t>Honda Ins</t>
  </si>
  <si>
    <t>Prince</t>
  </si>
  <si>
    <t xml:space="preserve">Red </t>
  </si>
  <si>
    <t xml:space="preserve">Sidrella </t>
  </si>
  <si>
    <t>Aforo- Weed</t>
  </si>
  <si>
    <t>Spray</t>
  </si>
  <si>
    <t xml:space="preserve">Other </t>
  </si>
  <si>
    <t>Aforo</t>
  </si>
  <si>
    <t xml:space="preserve">Contract </t>
  </si>
  <si>
    <t>By Day - 2</t>
  </si>
  <si>
    <t xml:space="preserve">Gilbert </t>
  </si>
  <si>
    <t xml:space="preserve">By day </t>
  </si>
  <si>
    <t xml:space="preserve">Eric </t>
  </si>
  <si>
    <t xml:space="preserve">Kumas Wife </t>
  </si>
  <si>
    <t xml:space="preserve">Kuma </t>
  </si>
  <si>
    <t xml:space="preserve">Aanima </t>
  </si>
  <si>
    <t>Ante Mansa</t>
  </si>
  <si>
    <t xml:space="preserve">Received </t>
  </si>
  <si>
    <t xml:space="preserve">Harvest Cost </t>
  </si>
  <si>
    <t xml:space="preserve">Projected </t>
  </si>
  <si>
    <t xml:space="preserve">Andrews </t>
  </si>
  <si>
    <t>Tractor Guy</t>
  </si>
  <si>
    <t xml:space="preserve">Officers Wife </t>
  </si>
  <si>
    <t xml:space="preserve">Offcer </t>
  </si>
  <si>
    <t xml:space="preserve">Amistar-top </t>
  </si>
  <si>
    <t xml:space="preserve">Black Fruirt Funcgicide </t>
  </si>
  <si>
    <t xml:space="preserve">Dad </t>
  </si>
  <si>
    <t xml:space="preserve">Dad- Harvesting </t>
  </si>
  <si>
    <t>Dad</t>
  </si>
  <si>
    <t xml:space="preserve">Haifa Bonus </t>
  </si>
  <si>
    <t xml:space="preserve">Flower Fertilizer </t>
  </si>
  <si>
    <t xml:space="preserve">Weeding and other </t>
  </si>
  <si>
    <t>Maame Pay</t>
  </si>
  <si>
    <t>Truck 4 - July 15</t>
  </si>
  <si>
    <t>Foam</t>
  </si>
  <si>
    <t xml:space="preserve">Ajoa Fosua </t>
  </si>
  <si>
    <t xml:space="preserve">New </t>
  </si>
  <si>
    <t xml:space="preserve">Kwasi Boakyes kids </t>
  </si>
  <si>
    <t>B5</t>
  </si>
  <si>
    <t xml:space="preserve">5% Dues </t>
  </si>
  <si>
    <t>Truck 3 - July 01</t>
  </si>
  <si>
    <t xml:space="preserve">Bate </t>
  </si>
  <si>
    <t xml:space="preserve">Janet </t>
  </si>
  <si>
    <t xml:space="preserve">Medium </t>
  </si>
  <si>
    <t xml:space="preserve">Where the Oil Palm is </t>
  </si>
  <si>
    <t>B4</t>
  </si>
  <si>
    <t xml:space="preserve">Cost of Materials </t>
  </si>
  <si>
    <t>Truck 2 - June 23</t>
  </si>
  <si>
    <t xml:space="preserve">Iveory </t>
  </si>
  <si>
    <t xml:space="preserve">Contact Fungicide </t>
  </si>
  <si>
    <t xml:space="preserve">Staking with Prince &amp; team </t>
  </si>
  <si>
    <t>A3</t>
  </si>
  <si>
    <t>Red and Ted</t>
  </si>
  <si>
    <t xml:space="preserve">Weeding of new farm </t>
  </si>
  <si>
    <t>Lydia</t>
  </si>
  <si>
    <t>Amount Received</t>
  </si>
  <si>
    <t>Date</t>
  </si>
  <si>
    <t xml:space="preserve">Mid </t>
  </si>
  <si>
    <t xml:space="preserve">Kwaku Boakyes Farm </t>
  </si>
  <si>
    <t>B3</t>
  </si>
  <si>
    <t>Beams</t>
  </si>
  <si>
    <t>Truck 1 - June 19</t>
  </si>
  <si>
    <t xml:space="preserve">Staking </t>
  </si>
  <si>
    <t xml:space="preserve">All </t>
  </si>
  <si>
    <t xml:space="preserve">Transprotation to Tepa for Saw </t>
  </si>
  <si>
    <t xml:space="preserve">Vic </t>
  </si>
  <si>
    <t xml:space="preserve">Ananes Farms </t>
  </si>
  <si>
    <t>B2</t>
  </si>
  <si>
    <t xml:space="preserve">OTHER COST </t>
  </si>
  <si>
    <t xml:space="preserve">Numer of Trucks </t>
  </si>
  <si>
    <t>Miscellaneous</t>
  </si>
  <si>
    <t>Amistar-top</t>
  </si>
  <si>
    <t>All</t>
  </si>
  <si>
    <t xml:space="preserve">Cutlas for pruning </t>
  </si>
  <si>
    <t xml:space="preserve">Maame Yaa </t>
  </si>
  <si>
    <t xml:space="preserve">Osofo's Farms </t>
  </si>
  <si>
    <t>B1</t>
  </si>
  <si>
    <t xml:space="preserve">K- Optimal </t>
  </si>
  <si>
    <t xml:space="preserve">Insecticide </t>
  </si>
  <si>
    <t xml:space="preserve">Prunning </t>
  </si>
  <si>
    <t xml:space="preserve">Saw for prunning </t>
  </si>
  <si>
    <t xml:space="preserve">Nov - Decmber </t>
  </si>
  <si>
    <t xml:space="preserve">May-June </t>
  </si>
  <si>
    <t>Feb - Mar</t>
  </si>
  <si>
    <t xml:space="preserve">Minor </t>
  </si>
  <si>
    <t>AI</t>
  </si>
  <si>
    <t xml:space="preserve">Money for food </t>
  </si>
  <si>
    <t xml:space="preserve">Tractor Operator </t>
  </si>
  <si>
    <t>NA</t>
  </si>
  <si>
    <t>A5</t>
  </si>
  <si>
    <t>2. Mior</t>
  </si>
  <si>
    <t xml:space="preserve">EVENT CENTRE </t>
  </si>
  <si>
    <t xml:space="preserve">Total Trucks </t>
  </si>
  <si>
    <t xml:space="preserve">Laour for planting </t>
  </si>
  <si>
    <t xml:space="preserve">Weeding </t>
  </si>
  <si>
    <t xml:space="preserve">Labour for  3 tins * 100GH </t>
  </si>
  <si>
    <t xml:space="preserve">Labour for the sprayer </t>
  </si>
  <si>
    <t xml:space="preserve">Ivy </t>
  </si>
  <si>
    <t xml:space="preserve">Land Purchased from Amoateng </t>
  </si>
  <si>
    <t>A4</t>
  </si>
  <si>
    <t xml:space="preserve">CARS </t>
  </si>
  <si>
    <t>Supreme</t>
  </si>
  <si>
    <t xml:space="preserve">Planting </t>
  </si>
  <si>
    <t xml:space="preserve">Weedicide </t>
  </si>
  <si>
    <t>Diesel (tractor)</t>
  </si>
  <si>
    <t xml:space="preserve">Tractor for conveying water for spraying </t>
  </si>
  <si>
    <t xml:space="preserve">Alice </t>
  </si>
  <si>
    <t xml:space="preserve">Togbuis farming area </t>
  </si>
  <si>
    <t>July - Aug</t>
  </si>
  <si>
    <t>Jan - February</t>
  </si>
  <si>
    <t>Oct - Nov</t>
  </si>
  <si>
    <t xml:space="preserve">Late Major </t>
  </si>
  <si>
    <t xml:space="preserve">STORE </t>
  </si>
  <si>
    <t>KG</t>
  </si>
  <si>
    <t xml:space="preserve">1-Truck </t>
  </si>
  <si>
    <t>Arrest</t>
  </si>
  <si>
    <t xml:space="preserve">Transportation </t>
  </si>
  <si>
    <t xml:space="preserve"> ( 12tins)  3 tins  used today total 380 </t>
  </si>
  <si>
    <t xml:space="preserve">Spraying of 3 tins of supersate </t>
  </si>
  <si>
    <t>Agnes</t>
  </si>
  <si>
    <t xml:space="preserve">Where Ante Mansa Farms </t>
  </si>
  <si>
    <t>A2</t>
  </si>
  <si>
    <t xml:space="preserve">June - July </t>
  </si>
  <si>
    <t xml:space="preserve">Nov- Dec </t>
  </si>
  <si>
    <t>Aug - Sept</t>
  </si>
  <si>
    <t>Major Season</t>
  </si>
  <si>
    <t xml:space="preserve">REAL ESTATE </t>
  </si>
  <si>
    <t xml:space="preserve">1-Beam </t>
  </si>
  <si>
    <t>Five Star</t>
  </si>
  <si>
    <t xml:space="preserve">Flower Induction </t>
  </si>
  <si>
    <t xml:space="preserve">Mangoes Seedling </t>
  </si>
  <si>
    <t xml:space="preserve">Amoateng </t>
  </si>
  <si>
    <t xml:space="preserve">Tractor Weeding </t>
  </si>
  <si>
    <t xml:space="preserve">Abraham </t>
  </si>
  <si>
    <t xml:space="preserve">1 Business Document </t>
  </si>
  <si>
    <t xml:space="preserve">Business Registration </t>
  </si>
  <si>
    <t xml:space="preserve">Anna </t>
  </si>
  <si>
    <t xml:space="preserve">Yes </t>
  </si>
  <si>
    <t xml:space="preserve">Farm close to the road. It boarders the Cashew Farm </t>
  </si>
  <si>
    <t>A1</t>
  </si>
  <si>
    <t xml:space="preserve">April - May </t>
  </si>
  <si>
    <t xml:space="preserve">Sept - Oct </t>
  </si>
  <si>
    <t xml:space="preserve">Jun - July </t>
  </si>
  <si>
    <t xml:space="preserve">Early Major </t>
  </si>
  <si>
    <t xml:space="preserve">1. Major </t>
  </si>
  <si>
    <t xml:space="preserve">FARM </t>
  </si>
  <si>
    <t xml:space="preserve">1- Create </t>
  </si>
  <si>
    <t xml:space="preserve">Date </t>
  </si>
  <si>
    <t>TOTAL</t>
  </si>
  <si>
    <t xml:space="preserve">Notes </t>
  </si>
  <si>
    <t xml:space="preserve">Food </t>
  </si>
  <si>
    <t xml:space="preserve">Actual Cost </t>
  </si>
  <si>
    <t xml:space="preserve">Projected Cost </t>
  </si>
  <si>
    <t xml:space="preserve">Farm Block </t>
  </si>
  <si>
    <t xml:space="preserve">Contact </t>
  </si>
  <si>
    <t xml:space="preserve">Responsible </t>
  </si>
  <si>
    <t xml:space="preserve">Quantity </t>
  </si>
  <si>
    <t>Activity</t>
  </si>
  <si>
    <t xml:space="preserve">Status </t>
  </si>
  <si>
    <t xml:space="preserve">Amount </t>
  </si>
  <si>
    <t xml:space="preserve">Person </t>
  </si>
  <si>
    <t xml:space="preserve">Balanc to collect </t>
  </si>
  <si>
    <t xml:space="preserve">Tota Deduction </t>
  </si>
  <si>
    <t xml:space="preserve">BS Deduction </t>
  </si>
  <si>
    <t xml:space="preserve">WF </t>
  </si>
  <si>
    <t xml:space="preserve">Dues </t>
  </si>
  <si>
    <t>Price / Kil</t>
  </si>
  <si>
    <t xml:space="preserve">Qnty Processed </t>
  </si>
  <si>
    <t>Reject %</t>
  </si>
  <si>
    <t xml:space="preserve">Qnt Rejected </t>
  </si>
  <si>
    <t xml:space="preserve">Qnty invoice </t>
  </si>
  <si>
    <t xml:space="preserve">Qnt Supplied </t>
  </si>
  <si>
    <t xml:space="preserve">Opening  Stock </t>
  </si>
  <si>
    <t xml:space="preserve">GRN No </t>
  </si>
  <si>
    <t xml:space="preserve">Batch </t>
  </si>
  <si>
    <t xml:space="preserve">Disease </t>
  </si>
  <si>
    <t xml:space="preserve">Fruit Flies </t>
  </si>
  <si>
    <t>Actual Yield (Kg)</t>
  </si>
  <si>
    <t>Forecasted Yield (KG)</t>
  </si>
  <si>
    <t xml:space="preserve">Variety </t>
  </si>
  <si>
    <t>Maturity (%)</t>
  </si>
  <si>
    <t>Acres</t>
  </si>
  <si>
    <t xml:space="preserve">Year Planted </t>
  </si>
  <si>
    <t xml:space="preserve">Early Block </t>
  </si>
  <si>
    <t xml:space="preserve">Description </t>
  </si>
  <si>
    <t xml:space="preserve">Field </t>
  </si>
  <si>
    <t xml:space="preserve">Harvest </t>
  </si>
  <si>
    <t xml:space="preserve">Feertilizer Paklo Application </t>
  </si>
  <si>
    <t xml:space="preserve">Season </t>
  </si>
  <si>
    <t xml:space="preserve">BUSINESS </t>
  </si>
  <si>
    <t xml:space="preserve">Cost </t>
  </si>
  <si>
    <t xml:space="preserve">Unit </t>
  </si>
  <si>
    <t xml:space="preserve">Farm practices </t>
  </si>
  <si>
    <t>Farm Investment 2026</t>
  </si>
  <si>
    <t xml:space="preserve">Farms </t>
  </si>
  <si>
    <t xml:space="preserve">Deduction </t>
  </si>
  <si>
    <t>Price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</si>
</sst>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#,##0.00"/>
    <numFmt numFmtId="166" formatCode="&quot;$&quot;#,##0"/>
    <numFmt numFmtId="167" formatCode="_([$GHS]\ * #,##0_);_([$GHS]\ * \(#,##0\);_([$GHS]\ * &quot;-&quot;??_);_(@_)"/>
    <numFmt numFmtId="168" formatCode="_([$$-409]* #,##0_);_([$$-409]* \(#,##0\);_([$$-409]* &quot;-&quot;??_);_(@_)"/>
    <numFmt numFmtId="169" formatCode="_([$$-409]* #,##0.00_);_([$$-409]* \(#,##0.00\);_([$$-409]* &quot;-&quot;??_);_(@_)"/>
    <numFmt numFmtId="170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"/>
      <sz val="20"/>
      <color rgb="FFFF0000"/>
      <name val="Calibri"/>
      <family val="2"/>
      <scheme val="minor"/>
    </font>
    <font>
      <b/>
      <u val="double"/>
      <sz val="20"/>
      <color theme="9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0" fillId="0" borderId="1" xfId="0" applyBorder="1"/>
    <xf numFmtId="0" fontId="2" fillId="0" borderId="1" xfId="0" applyFont="1" applyBorder="1"/>
    <xf numFmtId="164" fontId="0" fillId="0" borderId="0" xfId="0" applyNumberFormat="1"/>
    <xf numFmtId="164" fontId="2" fillId="0" borderId="0" xfId="0" applyNumberFormat="1" applyFont="1"/>
    <xf numFmtId="0" fontId="2" fillId="0" borderId="0" xfId="0" applyFont="1"/>
    <xf numFmtId="164" fontId="3" fillId="0" borderId="0" xfId="2" applyNumberFormat="1" applyFont="1"/>
    <xf numFmtId="164" fontId="4" fillId="0" borderId="0" xfId="2" applyNumberFormat="1" applyFont="1"/>
    <xf numFmtId="164" fontId="4" fillId="2" borderId="0" xfId="2" applyNumberFormat="1" applyFont="1" applyFill="1"/>
    <xf numFmtId="164" fontId="5" fillId="0" borderId="0" xfId="2" applyNumberFormat="1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165" fontId="0" fillId="0" borderId="1" xfId="0" applyNumberFormat="1" applyBorder="1"/>
    <xf numFmtId="164" fontId="0" fillId="0" borderId="1" xfId="2" applyNumberFormat="1" applyFont="1" applyBorder="1"/>
    <xf numFmtId="14" fontId="0" fillId="0" borderId="1" xfId="0" applyNumberFormat="1" applyBorder="1"/>
    <xf numFmtId="44" fontId="2" fillId="0" borderId="0" xfId="0" applyNumberFormat="1" applyFont="1" applyAlignment="1">
      <alignment horizontal="center"/>
    </xf>
    <xf numFmtId="166" fontId="2" fillId="0" borderId="1" xfId="0" applyNumberFormat="1" applyFont="1" applyBorder="1"/>
    <xf numFmtId="44" fontId="0" fillId="0" borderId="0" xfId="2" applyFont="1" applyAlignment="1">
      <alignment horizontal="center"/>
    </xf>
    <xf numFmtId="14" fontId="0" fillId="0" borderId="0" xfId="0" applyNumberFormat="1" applyAlignment="1">
      <alignment horizontal="center"/>
    </xf>
    <xf numFmtId="166" fontId="0" fillId="0" borderId="1" xfId="0" applyNumberFormat="1" applyBorder="1"/>
    <xf numFmtId="0" fontId="0" fillId="0" borderId="2" xfId="0" applyBorder="1"/>
    <xf numFmtId="9" fontId="0" fillId="0" borderId="2" xfId="0" applyNumberFormat="1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167" fontId="0" fillId="0" borderId="0" xfId="2" applyNumberFormat="1" applyFont="1"/>
    <xf numFmtId="0" fontId="0" fillId="0" borderId="4" xfId="0" applyBorder="1" applyAlignment="1">
      <alignment horizontal="center"/>
    </xf>
    <xf numFmtId="0" fontId="0" fillId="0" borderId="4" xfId="0" applyBorder="1"/>
    <xf numFmtId="9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left"/>
    </xf>
    <xf numFmtId="16" fontId="0" fillId="0" borderId="1" xfId="0" applyNumberFormat="1" applyBorder="1"/>
    <xf numFmtId="14" fontId="0" fillId="0" borderId="0" xfId="0" applyNumberFormat="1" applyAlignment="1">
      <alignment horizontal="left"/>
    </xf>
    <xf numFmtId="44" fontId="2" fillId="4" borderId="0" xfId="0" applyNumberFormat="1" applyFont="1" applyFill="1" applyAlignment="1">
      <alignment horizontal="center"/>
    </xf>
    <xf numFmtId="44" fontId="0" fillId="0" borderId="0" xfId="0" applyNumberFormat="1" applyAlignment="1">
      <alignment horizontal="center"/>
    </xf>
    <xf numFmtId="164" fontId="8" fillId="0" borderId="1" xfId="2" applyNumberFormat="1" applyFont="1" applyBorder="1"/>
    <xf numFmtId="44" fontId="8" fillId="5" borderId="0" xfId="2" applyFont="1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17" fontId="0" fillId="0" borderId="1" xfId="0" applyNumberFormat="1" applyBorder="1"/>
    <xf numFmtId="168" fontId="0" fillId="0" borderId="0" xfId="0" applyNumberFormat="1" applyAlignment="1">
      <alignment horizontal="center"/>
    </xf>
    <xf numFmtId="44" fontId="2" fillId="6" borderId="0" xfId="2" applyFont="1" applyFill="1" applyAlignment="1">
      <alignment horizontal="center"/>
    </xf>
    <xf numFmtId="44" fontId="9" fillId="0" borderId="0" xfId="2" applyFont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44" fontId="2" fillId="0" borderId="0" xfId="0" applyNumberFormat="1" applyFont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6" xfId="0" applyBorder="1"/>
    <xf numFmtId="0" fontId="0" fillId="0" borderId="15" xfId="0" applyBorder="1"/>
    <xf numFmtId="0" fontId="0" fillId="0" borderId="16" xfId="0" applyBorder="1"/>
    <xf numFmtId="0" fontId="0" fillId="0" borderId="7" xfId="0" applyBorder="1"/>
    <xf numFmtId="44" fontId="0" fillId="0" borderId="0" xfId="0" applyNumberFormat="1"/>
    <xf numFmtId="169" fontId="0" fillId="0" borderId="0" xfId="0" applyNumberFormat="1"/>
    <xf numFmtId="44" fontId="0" fillId="0" borderId="4" xfId="2" applyFont="1" applyBorder="1" applyAlignment="1">
      <alignment horizontal="center"/>
    </xf>
    <xf numFmtId="170" fontId="0" fillId="0" borderId="5" xfId="1" applyNumberFormat="1" applyFont="1" applyBorder="1" applyAlignment="1">
      <alignment horizontal="center"/>
    </xf>
    <xf numFmtId="0" fontId="0" fillId="8" borderId="1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0" borderId="11" xfId="0" applyBorder="1"/>
    <xf numFmtId="0" fontId="0" fillId="0" borderId="0" xfId="0" applyAlignment="1">
      <alignment horizontal="right"/>
    </xf>
    <xf numFmtId="0" fontId="0" fillId="0" borderId="17" xfId="0" applyBorder="1"/>
    <xf numFmtId="0" fontId="0" fillId="0" borderId="12" xfId="0" applyBorder="1"/>
    <xf numFmtId="168" fontId="0" fillId="0" borderId="0" xfId="0" applyNumberFormat="1"/>
    <xf numFmtId="44" fontId="9" fillId="0" borderId="0" xfId="0" applyNumberFormat="1" applyFont="1"/>
    <xf numFmtId="44" fontId="8" fillId="3" borderId="0" xfId="2" applyFont="1" applyFill="1"/>
    <xf numFmtId="9" fontId="0" fillId="0" borderId="0" xfId="3" applyFont="1" applyAlignment="1">
      <alignment horizontal="center"/>
    </xf>
    <xf numFmtId="170" fontId="0" fillId="0" borderId="0" xfId="1" applyNumberFormat="1" applyFont="1" applyAlignment="1">
      <alignment horizontal="center"/>
    </xf>
    <xf numFmtId="0" fontId="0" fillId="0" borderId="7" xfId="0" applyBorder="1" applyAlignment="1">
      <alignment horizontal="left"/>
    </xf>
    <xf numFmtId="164" fontId="2" fillId="0" borderId="0" xfId="2" applyNumberFormat="1" applyFont="1"/>
    <xf numFmtId="0" fontId="9" fillId="0" borderId="0" xfId="0" applyFont="1"/>
    <xf numFmtId="0" fontId="0" fillId="0" borderId="12" xfId="0" applyBorder="1" applyAlignment="1">
      <alignment horizontal="left"/>
    </xf>
    <xf numFmtId="17" fontId="0" fillId="0" borderId="2" xfId="0" applyNumberFormat="1" applyBorder="1"/>
    <xf numFmtId="0" fontId="0" fillId="0" borderId="0" xfId="0" applyAlignment="1">
      <alignment horizontal="left"/>
    </xf>
    <xf numFmtId="167" fontId="0" fillId="0" borderId="0" xfId="2" applyNumberFormat="1" applyFont="1" applyAlignment="1">
      <alignment horizontal="left"/>
    </xf>
    <xf numFmtId="44" fontId="2" fillId="0" borderId="0" xfId="2" applyFont="1"/>
    <xf numFmtId="164" fontId="8" fillId="3" borderId="0" xfId="2" applyNumberFormat="1" applyFont="1" applyFill="1"/>
    <xf numFmtId="0" fontId="0" fillId="0" borderId="18" xfId="0" applyBorder="1" applyAlignment="1">
      <alignment horizontal="center"/>
    </xf>
    <xf numFmtId="0" fontId="0" fillId="0" borderId="1" xfId="0" applyBorder="1" applyAlignment="1">
      <alignment horizontal="left"/>
    </xf>
    <xf numFmtId="167" fontId="6" fillId="9" borderId="0" xfId="0" applyNumberFormat="1" applyFont="1" applyFill="1" applyAlignment="1">
      <alignment vertical="center"/>
    </xf>
    <xf numFmtId="0" fontId="6" fillId="9" borderId="0" xfId="0" applyFont="1" applyFill="1" applyAlignment="1">
      <alignment vertical="center"/>
    </xf>
    <xf numFmtId="0" fontId="6" fillId="10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2" fillId="11" borderId="1" xfId="0" applyFont="1" applyFill="1" applyBorder="1"/>
    <xf numFmtId="0" fontId="2" fillId="0" borderId="0" xfId="0" applyFont="1" applyAlignment="1">
      <alignment horizontal="center"/>
    </xf>
    <xf numFmtId="0" fontId="2" fillId="12" borderId="0" xfId="0" applyFont="1" applyFill="1" applyAlignment="1">
      <alignment horizontal="center"/>
    </xf>
    <xf numFmtId="9" fontId="2" fillId="12" borderId="0" xfId="0" applyNumberFormat="1" applyFont="1" applyFill="1"/>
    <xf numFmtId="0" fontId="0" fillId="12" borderId="0" xfId="0" applyFill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2" fillId="12" borderId="19" xfId="0" applyFont="1" applyFill="1" applyBorder="1" applyAlignment="1">
      <alignment horizontal="center"/>
    </xf>
    <xf numFmtId="0" fontId="2" fillId="12" borderId="20" xfId="0" applyFont="1" applyFill="1" applyBorder="1" applyAlignment="1">
      <alignment horizontal="center"/>
    </xf>
    <xf numFmtId="0" fontId="2" fillId="12" borderId="21" xfId="0" applyFont="1" applyFill="1" applyBorder="1" applyAlignment="1">
      <alignment horizontal="center"/>
    </xf>
    <xf numFmtId="0" fontId="2" fillId="12" borderId="22" xfId="0" applyFont="1" applyFill="1" applyBorder="1" applyAlignment="1">
      <alignment horizontal="center"/>
    </xf>
    <xf numFmtId="0" fontId="2" fillId="12" borderId="23" xfId="0" applyFont="1" applyFill="1" applyBorder="1" applyAlignment="1">
      <alignment horizontal="center"/>
    </xf>
    <xf numFmtId="0" fontId="2" fillId="12" borderId="22" xfId="0" applyFont="1" applyFill="1" applyBorder="1"/>
    <xf numFmtId="0" fontId="2" fillId="12" borderId="24" xfId="0" applyFont="1" applyFill="1" applyBorder="1"/>
    <xf numFmtId="0" fontId="2" fillId="12" borderId="25" xfId="0" applyFont="1" applyFill="1" applyBorder="1"/>
    <xf numFmtId="0" fontId="2" fillId="12" borderId="23" xfId="0" applyFont="1" applyFill="1" applyBorder="1"/>
    <xf numFmtId="0" fontId="2" fillId="12" borderId="1" xfId="0" applyFont="1" applyFill="1" applyBorder="1"/>
    <xf numFmtId="0" fontId="2" fillId="12" borderId="22" xfId="0" applyFont="1" applyFill="1" applyBorder="1" applyAlignment="1">
      <alignment horizontal="center"/>
    </xf>
    <xf numFmtId="0" fontId="2" fillId="12" borderId="24" xfId="0" applyFont="1" applyFill="1" applyBorder="1" applyAlignment="1">
      <alignment horizontal="center"/>
    </xf>
    <xf numFmtId="0" fontId="2" fillId="12" borderId="25" xfId="0" applyFont="1" applyFill="1" applyBorder="1" applyAlignment="1">
      <alignment horizontal="center"/>
    </xf>
    <xf numFmtId="0" fontId="2" fillId="12" borderId="19" xfId="0" applyFont="1" applyFill="1" applyBorder="1" applyAlignment="1">
      <alignment horizontal="center"/>
    </xf>
    <xf numFmtId="0" fontId="2" fillId="12" borderId="20" xfId="0" applyFont="1" applyFill="1" applyBorder="1" applyAlignment="1">
      <alignment horizontal="center"/>
    </xf>
    <xf numFmtId="0" fontId="2" fillId="12" borderId="26" xfId="0" applyFont="1" applyFill="1" applyBorder="1" applyAlignment="1">
      <alignment horizontal="center"/>
    </xf>
    <xf numFmtId="0" fontId="2" fillId="12" borderId="21" xfId="0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5C603-F572-E747-AF13-070966F62982}">
  <dimension ref="B3:CJ48"/>
  <sheetViews>
    <sheetView tabSelected="1" topLeftCell="BM1" workbookViewId="0">
      <selection activeCell="CD15" sqref="CD15"/>
    </sheetView>
  </sheetViews>
  <sheetFormatPr baseColWidth="10" defaultRowHeight="15" x14ac:dyDescent="0.2"/>
  <cols>
    <col min="1" max="1" width="5.1640625" customWidth="1"/>
    <col min="2" max="2" width="21.5" customWidth="1"/>
    <col min="3" max="3" width="9.1640625" bestFit="1" customWidth="1"/>
    <col min="4" max="4" width="7.5" bestFit="1" customWidth="1"/>
    <col min="5" max="5" width="8.6640625" bestFit="1" customWidth="1"/>
    <col min="6" max="6" width="5.5" customWidth="1"/>
    <col min="7" max="7" width="3.5" customWidth="1"/>
    <col min="8" max="8" width="3.33203125" customWidth="1"/>
    <col min="9" max="9" width="17.33203125" customWidth="1"/>
    <col min="10" max="10" width="6.33203125" bestFit="1" customWidth="1"/>
    <col min="11" max="11" width="5.6640625" customWidth="1"/>
    <col min="12" max="12" width="4.5" customWidth="1"/>
    <col min="13" max="13" width="8.5" customWidth="1"/>
    <col min="14" max="14" width="14.1640625" customWidth="1"/>
    <col min="15" max="15" width="18.1640625" customWidth="1"/>
    <col min="16" max="16" width="11.83203125" customWidth="1"/>
    <col min="17" max="17" width="7.83203125" customWidth="1"/>
    <col min="18" max="18" width="8.5" customWidth="1"/>
    <col min="19" max="19" width="13.6640625" customWidth="1"/>
    <col min="20" max="20" width="13.83203125" customWidth="1"/>
    <col min="21" max="21" width="15.6640625" customWidth="1"/>
    <col min="22" max="22" width="9.1640625" bestFit="1" customWidth="1"/>
    <col min="23" max="23" width="14.33203125" customWidth="1"/>
    <col min="24" max="24" width="14.33203125" bestFit="1" customWidth="1"/>
    <col min="27" max="27" width="8.33203125" customWidth="1"/>
    <col min="28" max="30" width="5.1640625" bestFit="1" customWidth="1"/>
    <col min="31" max="31" width="7.1640625" bestFit="1" customWidth="1"/>
    <col min="34" max="34" width="11.1640625" bestFit="1" customWidth="1"/>
    <col min="35" max="35" width="23" bestFit="1" customWidth="1"/>
    <col min="36" max="36" width="20" customWidth="1"/>
    <col min="37" max="37" width="22" customWidth="1"/>
    <col min="39" max="39" width="5.33203125" bestFit="1" customWidth="1"/>
    <col min="40" max="40" width="41" bestFit="1" customWidth="1"/>
    <col min="41" max="41" width="9.6640625" bestFit="1" customWidth="1"/>
    <col min="42" max="42" width="11.33203125" bestFit="1" customWidth="1"/>
    <col min="43" max="43" width="5.5" bestFit="1" customWidth="1"/>
    <col min="44" max="44" width="11.33203125" customWidth="1"/>
    <col min="45" max="45" width="7.1640625" bestFit="1" customWidth="1"/>
    <col min="46" max="46" width="17.6640625" bestFit="1" customWidth="1"/>
    <col min="47" max="47" width="13.6640625" bestFit="1" customWidth="1"/>
    <col min="48" max="48" width="9" bestFit="1" customWidth="1"/>
    <col min="49" max="49" width="7.83203125" bestFit="1" customWidth="1"/>
    <col min="52" max="52" width="7.5" bestFit="1" customWidth="1"/>
    <col min="53" max="53" width="5.83203125" bestFit="1" customWidth="1"/>
    <col min="54" max="54" width="7.33203125" bestFit="1" customWidth="1"/>
    <col min="55" max="55" width="12.6640625" bestFit="1" customWidth="1"/>
    <col min="56" max="56" width="11.33203125" bestFit="1" customWidth="1"/>
    <col min="57" max="57" width="11" bestFit="1" customWidth="1"/>
    <col min="58" max="58" width="12.1640625" bestFit="1" customWidth="1"/>
    <col min="59" max="59" width="11.1640625" customWidth="1"/>
    <col min="60" max="60" width="13" bestFit="1" customWidth="1"/>
    <col min="61" max="61" width="8.33203125" bestFit="1" customWidth="1"/>
    <col min="62" max="62" width="14.33203125" bestFit="1" customWidth="1"/>
    <col min="63" max="63" width="12.1640625" bestFit="1" customWidth="1"/>
    <col min="68" max="68" width="13.1640625" bestFit="1" customWidth="1"/>
    <col min="69" max="69" width="6.83203125" customWidth="1"/>
    <col min="70" max="70" width="14.83203125" customWidth="1"/>
    <col min="74" max="74" width="9.6640625" customWidth="1"/>
  </cols>
  <sheetData>
    <row r="3" spans="2:88" ht="16" thickBot="1" x14ac:dyDescent="0.25">
      <c r="S3" s="12"/>
      <c r="X3" t="s">
        <v>205</v>
      </c>
      <c r="BO3" t="s">
        <v>204</v>
      </c>
    </row>
    <row r="4" spans="2:88" ht="20" thickBot="1" x14ac:dyDescent="0.25">
      <c r="B4" s="111" t="s">
        <v>203</v>
      </c>
      <c r="C4" s="110"/>
      <c r="D4" s="110"/>
      <c r="E4" s="110"/>
      <c r="F4" s="109"/>
      <c r="I4" s="115" t="s">
        <v>202</v>
      </c>
      <c r="J4" s="114"/>
      <c r="K4" s="113"/>
      <c r="L4" s="113"/>
      <c r="M4" s="112"/>
      <c r="N4" s="12"/>
      <c r="O4" s="111" t="s">
        <v>201</v>
      </c>
      <c r="P4" s="110"/>
      <c r="Q4" s="110"/>
      <c r="R4" s="109"/>
      <c r="S4" s="12"/>
      <c r="T4" s="108" t="s">
        <v>193</v>
      </c>
      <c r="U4" s="108" t="s">
        <v>168</v>
      </c>
      <c r="V4" s="108" t="s">
        <v>200</v>
      </c>
      <c r="W4" s="108" t="s">
        <v>199</v>
      </c>
      <c r="X4" s="108">
        <v>5.22</v>
      </c>
      <c r="Z4" s="107" t="s">
        <v>198</v>
      </c>
      <c r="AA4" s="106">
        <v>2026</v>
      </c>
      <c r="AB4" s="105">
        <v>2027</v>
      </c>
      <c r="AC4" s="105">
        <v>2028</v>
      </c>
      <c r="AD4" s="105">
        <v>2029</v>
      </c>
      <c r="AE4" s="104">
        <v>2030</v>
      </c>
      <c r="AG4" s="103"/>
      <c r="AH4" s="103" t="s">
        <v>197</v>
      </c>
      <c r="AI4" s="103" t="s">
        <v>196</v>
      </c>
      <c r="AJ4" s="103" t="s">
        <v>138</v>
      </c>
      <c r="AK4" s="102" t="s">
        <v>195</v>
      </c>
      <c r="AM4" s="101" t="s">
        <v>194</v>
      </c>
      <c r="AN4" s="100" t="s">
        <v>193</v>
      </c>
      <c r="AO4" s="100" t="s">
        <v>192</v>
      </c>
      <c r="AP4" s="100" t="s">
        <v>191</v>
      </c>
      <c r="AQ4" s="100" t="s">
        <v>190</v>
      </c>
      <c r="AR4" s="100" t="s">
        <v>189</v>
      </c>
      <c r="AS4" s="100" t="s">
        <v>188</v>
      </c>
      <c r="AT4" s="100" t="s">
        <v>187</v>
      </c>
      <c r="AU4" s="100" t="s">
        <v>186</v>
      </c>
      <c r="AV4" s="100" t="s">
        <v>185</v>
      </c>
      <c r="AW4" s="99" t="s">
        <v>184</v>
      </c>
      <c r="AZ4" s="96" t="s">
        <v>156</v>
      </c>
      <c r="BA4" s="96" t="s">
        <v>183</v>
      </c>
      <c r="BB4" s="96" t="s">
        <v>182</v>
      </c>
      <c r="BC4" s="98" t="s">
        <v>181</v>
      </c>
      <c r="BD4" s="96" t="s">
        <v>180</v>
      </c>
      <c r="BE4" s="96" t="s">
        <v>179</v>
      </c>
      <c r="BF4" s="96" t="s">
        <v>178</v>
      </c>
      <c r="BG4" s="96" t="s">
        <v>177</v>
      </c>
      <c r="BH4" s="98" t="s">
        <v>176</v>
      </c>
      <c r="BI4" s="97" t="s">
        <v>175</v>
      </c>
      <c r="BJ4" s="96" t="s">
        <v>168</v>
      </c>
      <c r="BL4" s="95">
        <v>0.05</v>
      </c>
      <c r="BM4" s="94" t="s">
        <v>174</v>
      </c>
      <c r="BN4" s="94" t="s">
        <v>173</v>
      </c>
      <c r="BO4" s="94" t="s">
        <v>172</v>
      </c>
      <c r="BP4" s="94" t="s">
        <v>171</v>
      </c>
      <c r="BQ4" s="5"/>
      <c r="BR4" s="93" t="s">
        <v>170</v>
      </c>
      <c r="BT4" s="92" t="s">
        <v>169</v>
      </c>
      <c r="BU4" s="92" t="s">
        <v>168</v>
      </c>
      <c r="BV4" s="91" t="s">
        <v>167</v>
      </c>
      <c r="BY4" s="90" t="s">
        <v>156</v>
      </c>
      <c r="BZ4" s="90" t="s">
        <v>166</v>
      </c>
      <c r="CA4" s="90" t="s">
        <v>165</v>
      </c>
      <c r="CB4" s="90" t="s">
        <v>164</v>
      </c>
      <c r="CC4" s="90" t="s">
        <v>163</v>
      </c>
      <c r="CD4" s="90" t="s">
        <v>162</v>
      </c>
      <c r="CE4" s="90" t="s">
        <v>161</v>
      </c>
      <c r="CF4" s="90" t="s">
        <v>160</v>
      </c>
      <c r="CG4" s="90" t="s">
        <v>159</v>
      </c>
      <c r="CH4" s="90" t="s">
        <v>158</v>
      </c>
      <c r="CI4" s="89" t="s">
        <v>157</v>
      </c>
      <c r="CJ4" s="88">
        <f>SUM(CF5:CF153)</f>
        <v>3630</v>
      </c>
    </row>
    <row r="5" spans="2:88" x14ac:dyDescent="0.2">
      <c r="B5" s="22"/>
      <c r="C5" s="22"/>
      <c r="D5" s="22" t="s">
        <v>156</v>
      </c>
      <c r="E5" s="22"/>
      <c r="F5" s="22"/>
      <c r="I5" s="22"/>
      <c r="J5" s="81"/>
      <c r="K5" s="22"/>
      <c r="L5" s="22"/>
      <c r="M5" s="22"/>
      <c r="N5" s="12"/>
      <c r="O5" s="22"/>
      <c r="P5" s="22"/>
      <c r="Q5" s="22"/>
      <c r="R5" s="22"/>
      <c r="S5" s="12"/>
      <c r="T5" s="87" t="s">
        <v>155</v>
      </c>
      <c r="U5" s="52">
        <v>38</v>
      </c>
      <c r="V5" s="52" t="s">
        <v>122</v>
      </c>
      <c r="W5" s="1"/>
      <c r="X5" s="21">
        <f>U5*X4</f>
        <v>198.35999999999999</v>
      </c>
      <c r="Z5" s="71" t="s">
        <v>154</v>
      </c>
      <c r="AA5" s="70">
        <v>3000</v>
      </c>
      <c r="AB5">
        <v>4000</v>
      </c>
      <c r="AC5">
        <v>6000</v>
      </c>
      <c r="AD5">
        <v>8000</v>
      </c>
      <c r="AE5" s="68">
        <v>100000</v>
      </c>
      <c r="AG5" s="51" t="s">
        <v>153</v>
      </c>
      <c r="AH5" s="80" t="s">
        <v>152</v>
      </c>
      <c r="AI5" s="50" t="s">
        <v>151</v>
      </c>
      <c r="AJ5" s="50" t="s">
        <v>150</v>
      </c>
      <c r="AK5" s="49" t="s">
        <v>149</v>
      </c>
      <c r="AM5" s="86" t="s">
        <v>148</v>
      </c>
      <c r="AN5" s="32" t="s">
        <v>147</v>
      </c>
      <c r="AO5" s="28" t="s">
        <v>146</v>
      </c>
      <c r="AP5" s="28"/>
      <c r="AQ5" s="28"/>
      <c r="AR5" s="30">
        <v>1</v>
      </c>
      <c r="AS5" s="28"/>
      <c r="AT5" s="28"/>
      <c r="AU5" s="28"/>
      <c r="AV5" s="28" t="s">
        <v>52</v>
      </c>
      <c r="AW5" s="28" t="s">
        <v>52</v>
      </c>
      <c r="AZ5" s="20">
        <v>46192</v>
      </c>
      <c r="BA5" s="13">
        <v>608</v>
      </c>
      <c r="BB5" s="13">
        <v>527</v>
      </c>
      <c r="BC5" s="31"/>
      <c r="BD5" s="76">
        <v>9845</v>
      </c>
      <c r="BE5" s="13"/>
      <c r="BF5" s="76">
        <v>956</v>
      </c>
      <c r="BG5" s="75">
        <f>BF5/BD5</f>
        <v>9.7105129507364149E-2</v>
      </c>
      <c r="BH5" s="64">
        <f>BD5-BF5</f>
        <v>8889</v>
      </c>
      <c r="BI5" s="63">
        <v>5.25</v>
      </c>
      <c r="BJ5" s="43">
        <f>BH5*BI5</f>
        <v>46667.25</v>
      </c>
      <c r="BK5" s="72"/>
      <c r="BL5" s="74">
        <f>BJ5*0.05</f>
        <v>2333.3625000000002</v>
      </c>
      <c r="BM5" s="74">
        <v>120</v>
      </c>
      <c r="BN5" s="85">
        <v>240</v>
      </c>
      <c r="BO5" s="85">
        <v>900</v>
      </c>
      <c r="BP5" s="73">
        <f>SUM(BL5:BO5)</f>
        <v>3593.3625000000002</v>
      </c>
      <c r="BQ5" s="61"/>
      <c r="BR5" s="84">
        <f>BJ5-BP5</f>
        <v>43073.887499999997</v>
      </c>
      <c r="BT5" s="1" t="s">
        <v>145</v>
      </c>
      <c r="BU5" s="1">
        <v>1000</v>
      </c>
      <c r="BV5" s="1"/>
      <c r="BY5" s="34">
        <v>45874</v>
      </c>
      <c r="BZ5" s="82" t="s">
        <v>144</v>
      </c>
      <c r="CA5" s="82" t="s">
        <v>143</v>
      </c>
      <c r="CB5" s="82" t="s">
        <v>142</v>
      </c>
      <c r="CC5" s="82"/>
      <c r="CD5" s="82"/>
      <c r="CE5" s="82"/>
      <c r="CF5" s="83">
        <v>800</v>
      </c>
      <c r="CG5" s="82"/>
      <c r="CH5" s="82"/>
      <c r="CI5" s="82"/>
      <c r="CJ5" s="82"/>
    </row>
    <row r="6" spans="2:88" x14ac:dyDescent="0.2">
      <c r="B6" s="1" t="s">
        <v>141</v>
      </c>
      <c r="C6" s="1" t="s">
        <v>140</v>
      </c>
      <c r="D6" s="1"/>
      <c r="E6" s="15">
        <v>15000</v>
      </c>
      <c r="F6" s="1"/>
      <c r="I6" s="22" t="s">
        <v>139</v>
      </c>
      <c r="J6" s="81">
        <v>46113</v>
      </c>
      <c r="K6" s="22">
        <v>1500</v>
      </c>
      <c r="L6" s="22">
        <v>12</v>
      </c>
      <c r="M6" s="15">
        <f>K6*L6</f>
        <v>18000</v>
      </c>
      <c r="N6" s="12"/>
      <c r="O6" s="22" t="s">
        <v>138</v>
      </c>
      <c r="P6" s="1" t="s">
        <v>137</v>
      </c>
      <c r="Q6" s="1"/>
      <c r="R6" s="1"/>
      <c r="S6" s="12"/>
      <c r="T6" s="1" t="s">
        <v>136</v>
      </c>
      <c r="U6" s="1">
        <f>10*U5</f>
        <v>380</v>
      </c>
      <c r="V6" s="52" t="s">
        <v>122</v>
      </c>
      <c r="W6" s="1"/>
      <c r="X6" s="21">
        <f>U6*X4</f>
        <v>1983.6</v>
      </c>
      <c r="Z6" s="71" t="s">
        <v>135</v>
      </c>
      <c r="AA6" s="70">
        <v>5</v>
      </c>
      <c r="AB6">
        <v>10</v>
      </c>
      <c r="AC6">
        <v>15</v>
      </c>
      <c r="AD6">
        <v>20</v>
      </c>
      <c r="AE6" s="68">
        <v>30</v>
      </c>
      <c r="AG6" s="51"/>
      <c r="AH6" s="80" t="s">
        <v>134</v>
      </c>
      <c r="AI6" s="50" t="s">
        <v>133</v>
      </c>
      <c r="AJ6" s="50" t="s">
        <v>132</v>
      </c>
      <c r="AK6" s="49" t="s">
        <v>131</v>
      </c>
      <c r="AM6" s="28" t="s">
        <v>130</v>
      </c>
      <c r="AN6" s="32" t="s">
        <v>129</v>
      </c>
      <c r="AO6" s="28" t="s">
        <v>66</v>
      </c>
      <c r="AP6" s="28"/>
      <c r="AQ6" s="28"/>
      <c r="AR6" s="30">
        <v>0.7</v>
      </c>
      <c r="AS6" s="28"/>
      <c r="AT6" s="28"/>
      <c r="AU6" s="28"/>
      <c r="AV6" s="28" t="s">
        <v>52</v>
      </c>
      <c r="AW6" s="28" t="s">
        <v>52</v>
      </c>
      <c r="AZ6" s="20">
        <v>46196</v>
      </c>
      <c r="BA6" s="13">
        <v>614</v>
      </c>
      <c r="BB6" s="13">
        <v>575</v>
      </c>
      <c r="BC6" s="31">
        <v>0</v>
      </c>
      <c r="BD6" s="76">
        <v>9893</v>
      </c>
      <c r="BE6" s="13">
        <v>0</v>
      </c>
      <c r="BF6" s="76">
        <v>769</v>
      </c>
      <c r="BG6" s="75">
        <f>BF6/BD6</f>
        <v>7.7731729505711111E-2</v>
      </c>
      <c r="BH6" s="64">
        <f>BD6-BF6</f>
        <v>9124</v>
      </c>
      <c r="BI6" s="63">
        <v>5.25</v>
      </c>
      <c r="BJ6" s="43">
        <f>BH6*BI6</f>
        <v>47901</v>
      </c>
      <c r="BK6" s="72"/>
      <c r="BL6" s="74">
        <f>BJ6*0.05</f>
        <v>2395.0500000000002</v>
      </c>
      <c r="BM6" s="79"/>
      <c r="BN6" s="79"/>
      <c r="BO6" s="79"/>
      <c r="BP6" s="73">
        <f>SUM(BL6:BO6)</f>
        <v>2395.0500000000002</v>
      </c>
      <c r="BR6" s="78"/>
      <c r="BT6" s="1" t="s">
        <v>128</v>
      </c>
      <c r="BU6" s="1">
        <v>1000</v>
      </c>
      <c r="BV6" s="1"/>
      <c r="BY6" s="34">
        <v>45874</v>
      </c>
      <c r="BZ6" t="s">
        <v>127</v>
      </c>
      <c r="CA6" t="s">
        <v>126</v>
      </c>
      <c r="CD6" t="s">
        <v>94</v>
      </c>
      <c r="CF6" s="27">
        <v>380</v>
      </c>
    </row>
    <row r="7" spans="2:88" ht="16" thickBot="1" x14ac:dyDescent="0.25">
      <c r="B7" s="1" t="s">
        <v>112</v>
      </c>
      <c r="C7" s="1" t="s">
        <v>35</v>
      </c>
      <c r="D7" s="1"/>
      <c r="E7" s="15">
        <v>5000</v>
      </c>
      <c r="F7" s="1"/>
      <c r="I7" s="1" t="s">
        <v>125</v>
      </c>
      <c r="J7" s="42">
        <v>46113</v>
      </c>
      <c r="K7" s="1">
        <v>3500</v>
      </c>
      <c r="L7" s="1">
        <v>1</v>
      </c>
      <c r="M7" s="15">
        <f>K7*L7</f>
        <v>3500</v>
      </c>
      <c r="N7" s="12"/>
      <c r="O7" s="1"/>
      <c r="P7" s="1" t="s">
        <v>124</v>
      </c>
      <c r="Q7" s="1"/>
      <c r="R7" s="1"/>
      <c r="S7" s="12"/>
      <c r="T7" s="1" t="s">
        <v>123</v>
      </c>
      <c r="U7" s="1">
        <f>U6*24</f>
        <v>9120</v>
      </c>
      <c r="V7" s="52" t="s">
        <v>122</v>
      </c>
      <c r="W7" s="1"/>
      <c r="X7" s="21">
        <f>U7*X4</f>
        <v>47606.399999999994</v>
      </c>
      <c r="Z7" s="71" t="s">
        <v>121</v>
      </c>
      <c r="AA7" s="70">
        <v>3</v>
      </c>
      <c r="AB7">
        <v>6</v>
      </c>
      <c r="AC7">
        <v>12</v>
      </c>
      <c r="AD7">
        <v>24</v>
      </c>
      <c r="AE7" s="68">
        <v>50</v>
      </c>
      <c r="AG7" s="41"/>
      <c r="AH7" s="77" t="s">
        <v>120</v>
      </c>
      <c r="AI7" s="40" t="s">
        <v>119</v>
      </c>
      <c r="AJ7" s="40" t="s">
        <v>118</v>
      </c>
      <c r="AK7" s="39" t="s">
        <v>117</v>
      </c>
      <c r="AM7" s="28" t="s">
        <v>60</v>
      </c>
      <c r="AN7" s="32" t="s">
        <v>116</v>
      </c>
      <c r="AO7" s="28" t="s">
        <v>66</v>
      </c>
      <c r="AP7" s="28"/>
      <c r="AQ7" s="28"/>
      <c r="AR7" s="30">
        <v>0.7</v>
      </c>
      <c r="AS7" s="28"/>
      <c r="AU7" s="28"/>
      <c r="AV7" s="28" t="s">
        <v>52</v>
      </c>
      <c r="AW7" s="28" t="s">
        <v>52</v>
      </c>
      <c r="AZ7" s="20">
        <v>46204</v>
      </c>
      <c r="BA7" s="13">
        <v>702</v>
      </c>
      <c r="BB7" s="13">
        <v>682</v>
      </c>
      <c r="BC7" s="31"/>
      <c r="BD7" s="76">
        <v>9585</v>
      </c>
      <c r="BE7" s="13"/>
      <c r="BF7" s="76">
        <v>880</v>
      </c>
      <c r="BG7" s="75">
        <f>BF7/BD7</f>
        <v>9.1810119979134061E-2</v>
      </c>
      <c r="BH7" s="64">
        <f>BD7-BF7</f>
        <v>8705</v>
      </c>
      <c r="BI7" s="63">
        <v>5.25</v>
      </c>
      <c r="BJ7" s="43">
        <f>BH7*BI7</f>
        <v>45701.25</v>
      </c>
      <c r="BL7" s="74">
        <f>BJ7*0.05</f>
        <v>2285.0625</v>
      </c>
      <c r="BP7" s="73">
        <f>SUM(BL7:BO7)</f>
        <v>2285.0625</v>
      </c>
      <c r="BR7" s="72">
        <f>SUM(BR5:BR6)</f>
        <v>43073.887499999997</v>
      </c>
      <c r="BT7" s="1" t="s">
        <v>115</v>
      </c>
      <c r="BU7" s="1">
        <v>1000</v>
      </c>
      <c r="BV7" s="1"/>
      <c r="BY7" s="34">
        <v>45874</v>
      </c>
      <c r="BZ7" t="s">
        <v>114</v>
      </c>
      <c r="CA7" t="s">
        <v>113</v>
      </c>
      <c r="CD7" t="s">
        <v>94</v>
      </c>
      <c r="CF7" s="27">
        <v>100</v>
      </c>
    </row>
    <row r="8" spans="2:88" ht="16" thickBot="1" x14ac:dyDescent="0.25">
      <c r="B8" s="1" t="s">
        <v>112</v>
      </c>
      <c r="C8" s="1" t="s">
        <v>35</v>
      </c>
      <c r="D8" s="1"/>
      <c r="E8" s="15">
        <v>3500</v>
      </c>
      <c r="F8" s="1"/>
      <c r="I8" s="1" t="s">
        <v>111</v>
      </c>
      <c r="J8" s="1"/>
      <c r="K8" s="1"/>
      <c r="L8" s="1"/>
      <c r="M8" s="15"/>
      <c r="N8" s="12"/>
      <c r="O8" s="1"/>
      <c r="P8" s="1" t="s">
        <v>110</v>
      </c>
      <c r="Q8" s="1"/>
      <c r="R8" s="1"/>
      <c r="S8" s="12"/>
      <c r="T8" s="1"/>
      <c r="U8" s="1"/>
      <c r="V8" s="52"/>
      <c r="W8" s="1"/>
      <c r="X8" s="21"/>
      <c r="Z8" s="71" t="s">
        <v>109</v>
      </c>
      <c r="AA8" s="70">
        <v>5</v>
      </c>
      <c r="AB8">
        <v>10</v>
      </c>
      <c r="AC8" s="69">
        <v>15</v>
      </c>
      <c r="AD8">
        <v>20</v>
      </c>
      <c r="AE8" s="68">
        <v>25</v>
      </c>
      <c r="AG8" s="67"/>
      <c r="AH8" s="66"/>
      <c r="AI8" s="66"/>
      <c r="AJ8" s="66"/>
      <c r="AK8" s="65"/>
      <c r="AM8" s="28" t="s">
        <v>108</v>
      </c>
      <c r="AN8" s="32" t="s">
        <v>107</v>
      </c>
      <c r="AO8" s="28" t="s">
        <v>45</v>
      </c>
      <c r="AP8" s="28"/>
      <c r="AQ8" s="28"/>
      <c r="AR8" s="30">
        <v>0</v>
      </c>
      <c r="AS8" s="28"/>
      <c r="AT8" s="28"/>
      <c r="AU8" s="28"/>
      <c r="AV8" s="28" t="s">
        <v>52</v>
      </c>
      <c r="AW8" s="28" t="s">
        <v>52</v>
      </c>
      <c r="AZ8" s="20"/>
      <c r="BA8" s="13"/>
      <c r="BB8" s="13"/>
      <c r="BC8" s="13"/>
      <c r="BD8" s="13"/>
      <c r="BE8" s="13"/>
      <c r="BF8" s="13"/>
      <c r="BG8" s="13"/>
      <c r="BH8" s="64">
        <f>BJ8/BI8</f>
        <v>0</v>
      </c>
      <c r="BI8" s="63">
        <v>5.25</v>
      </c>
      <c r="BJ8" s="43"/>
      <c r="BL8" s="62"/>
      <c r="BP8" s="61"/>
      <c r="BT8" s="1" t="s">
        <v>106</v>
      </c>
      <c r="BU8" s="1">
        <v>1000</v>
      </c>
      <c r="BV8" s="1"/>
      <c r="BY8" s="34">
        <v>45874</v>
      </c>
      <c r="BZ8" t="s">
        <v>105</v>
      </c>
      <c r="CA8" t="s">
        <v>104</v>
      </c>
      <c r="CD8" t="s">
        <v>94</v>
      </c>
      <c r="CF8" s="27">
        <v>300</v>
      </c>
    </row>
    <row r="9" spans="2:88" ht="16" thickBot="1" x14ac:dyDescent="0.25">
      <c r="B9" s="1" t="s">
        <v>103</v>
      </c>
      <c r="C9" s="1" t="s">
        <v>35</v>
      </c>
      <c r="D9" s="1"/>
      <c r="E9" s="15">
        <v>2000</v>
      </c>
      <c r="F9" s="1"/>
      <c r="I9" s="1" t="s">
        <v>102</v>
      </c>
      <c r="J9" s="1"/>
      <c r="K9" s="1"/>
      <c r="L9" s="1"/>
      <c r="M9" s="15"/>
      <c r="N9" s="12"/>
      <c r="O9" s="1"/>
      <c r="P9" s="1"/>
      <c r="Q9" s="1"/>
      <c r="R9" s="1"/>
      <c r="S9" s="12"/>
      <c r="T9" s="1" t="s">
        <v>101</v>
      </c>
      <c r="U9" s="52">
        <v>4</v>
      </c>
      <c r="V9" s="52"/>
      <c r="W9" s="1"/>
      <c r="X9" s="21">
        <f>X7*U9</f>
        <v>190425.59999999998</v>
      </c>
      <c r="Z9" s="60" t="s">
        <v>100</v>
      </c>
      <c r="AA9" s="59">
        <v>5</v>
      </c>
      <c r="AB9" s="58">
        <v>10</v>
      </c>
      <c r="AC9" s="58">
        <v>12</v>
      </c>
      <c r="AD9" s="58">
        <v>24</v>
      </c>
      <c r="AE9" s="57">
        <v>60</v>
      </c>
      <c r="AG9" s="56" t="s">
        <v>99</v>
      </c>
      <c r="AH9" s="55"/>
      <c r="AI9" s="55"/>
      <c r="AJ9" s="55"/>
      <c r="AK9" s="54"/>
      <c r="AM9" s="25" t="s">
        <v>98</v>
      </c>
      <c r="AN9" s="26" t="s">
        <v>45</v>
      </c>
      <c r="AO9" s="25" t="s">
        <v>45</v>
      </c>
      <c r="AP9" s="25"/>
      <c r="AQ9" s="25"/>
      <c r="AR9" s="23">
        <v>0</v>
      </c>
      <c r="AS9" s="25"/>
      <c r="AT9" s="25"/>
      <c r="AU9" s="25"/>
      <c r="AV9" s="25" t="s">
        <v>97</v>
      </c>
      <c r="AW9" s="25" t="s">
        <v>97</v>
      </c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P9" s="53">
        <f>SUM(BP5:BP8)</f>
        <v>8273.4750000000004</v>
      </c>
      <c r="BT9" s="1"/>
      <c r="BU9" s="2">
        <f>SUM(BU5:BU8)</f>
        <v>4000</v>
      </c>
      <c r="BV9" s="1"/>
      <c r="BY9" s="34">
        <v>45874</v>
      </c>
      <c r="BZ9" t="s">
        <v>96</v>
      </c>
      <c r="CA9" t="s">
        <v>95</v>
      </c>
      <c r="CD9" t="s">
        <v>94</v>
      </c>
      <c r="CF9" s="27">
        <v>50</v>
      </c>
    </row>
    <row r="10" spans="2:88" x14ac:dyDescent="0.2">
      <c r="B10" s="1" t="s">
        <v>4</v>
      </c>
      <c r="C10" s="1"/>
      <c r="D10" s="1"/>
      <c r="E10" s="15">
        <v>2000</v>
      </c>
      <c r="F10" s="1"/>
      <c r="I10" s="1" t="s">
        <v>71</v>
      </c>
      <c r="J10" s="42">
        <v>46113</v>
      </c>
      <c r="K10" s="1">
        <v>3000</v>
      </c>
      <c r="L10" s="1">
        <v>1</v>
      </c>
      <c r="M10" s="15">
        <f>K10*L10</f>
        <v>3000</v>
      </c>
      <c r="N10" s="12"/>
      <c r="O10" s="1"/>
      <c r="P10" s="1"/>
      <c r="Q10" s="1"/>
      <c r="R10" s="1"/>
      <c r="S10" s="12"/>
      <c r="T10" s="1"/>
      <c r="U10" s="21"/>
      <c r="V10" s="52"/>
      <c r="W10" s="14"/>
      <c r="X10" s="1"/>
      <c r="AG10" s="51"/>
      <c r="AH10" s="50" t="s">
        <v>93</v>
      </c>
      <c r="AI10" s="50" t="s">
        <v>92</v>
      </c>
      <c r="AJ10" s="50" t="s">
        <v>91</v>
      </c>
      <c r="AK10" s="49" t="s">
        <v>90</v>
      </c>
      <c r="AM10" s="48"/>
      <c r="AN10" s="47"/>
      <c r="AO10" s="47"/>
      <c r="AP10" s="47"/>
      <c r="AQ10" s="47"/>
      <c r="AR10" s="47"/>
      <c r="AS10" s="47"/>
      <c r="AT10" s="47"/>
      <c r="AU10" s="47"/>
      <c r="AV10" s="47"/>
      <c r="AW10" s="46"/>
      <c r="AZ10" s="13"/>
      <c r="BA10" s="13"/>
      <c r="BB10" s="13"/>
      <c r="BC10" s="13"/>
      <c r="BD10" s="13"/>
      <c r="BE10" s="13"/>
      <c r="BF10" s="45">
        <f>SUM(BF5:BF7)*BI5</f>
        <v>13676.25</v>
      </c>
      <c r="BG10" s="13"/>
      <c r="BH10" s="44">
        <v>170647.75</v>
      </c>
      <c r="BI10" s="13"/>
      <c r="BJ10" s="43">
        <f>SUM(BJ5:BJ8)</f>
        <v>140269.5</v>
      </c>
      <c r="BR10" s="3"/>
      <c r="BT10" s="1"/>
      <c r="BU10" s="1"/>
      <c r="BV10" s="1"/>
      <c r="BY10" s="34">
        <v>45874</v>
      </c>
      <c r="BZ10" t="s">
        <v>89</v>
      </c>
      <c r="CD10" t="s">
        <v>81</v>
      </c>
      <c r="CF10" s="27">
        <v>70</v>
      </c>
    </row>
    <row r="11" spans="2:88" ht="16" thickBot="1" x14ac:dyDescent="0.25">
      <c r="B11" s="1" t="s">
        <v>88</v>
      </c>
      <c r="C11" s="1" t="s">
        <v>35</v>
      </c>
      <c r="D11" s="1"/>
      <c r="E11" s="15">
        <v>7000</v>
      </c>
      <c r="F11" s="1"/>
      <c r="I11" s="1" t="s">
        <v>87</v>
      </c>
      <c r="J11" s="42">
        <v>46113</v>
      </c>
      <c r="K11" s="1"/>
      <c r="L11" s="1"/>
      <c r="M11" s="15">
        <v>5000</v>
      </c>
      <c r="N11" s="12"/>
      <c r="O11" s="1" t="s">
        <v>87</v>
      </c>
      <c r="P11" s="1" t="s">
        <v>86</v>
      </c>
      <c r="Q11" s="1"/>
      <c r="R11" s="1"/>
      <c r="S11" s="12"/>
      <c r="T11" s="1"/>
      <c r="U11" s="1"/>
      <c r="V11" s="1"/>
      <c r="W11" s="1"/>
      <c r="X11" s="1"/>
      <c r="AG11" s="41"/>
      <c r="AH11" s="40"/>
      <c r="AI11" s="40"/>
      <c r="AJ11" s="40"/>
      <c r="AK11" s="39"/>
      <c r="AM11" s="28" t="s">
        <v>85</v>
      </c>
      <c r="AN11" s="32" t="s">
        <v>84</v>
      </c>
      <c r="AO11" s="28" t="s">
        <v>66</v>
      </c>
      <c r="AP11" s="28"/>
      <c r="AQ11" s="31"/>
      <c r="AR11" s="30">
        <v>0.7</v>
      </c>
      <c r="AS11" s="28"/>
      <c r="AT11" s="28"/>
      <c r="AU11" s="28"/>
      <c r="AV11" s="28" t="s">
        <v>52</v>
      </c>
      <c r="AW11" s="28" t="s">
        <v>52</v>
      </c>
      <c r="AZ11" s="13"/>
      <c r="BA11" s="13"/>
      <c r="BB11" s="13"/>
      <c r="BC11" s="13"/>
      <c r="BD11" s="13"/>
      <c r="BE11" s="13"/>
      <c r="BF11" s="13"/>
      <c r="BG11" s="13"/>
      <c r="BH11" s="38">
        <v>19237</v>
      </c>
      <c r="BI11" s="13"/>
      <c r="BJ11" s="13"/>
      <c r="BT11" s="1" t="s">
        <v>83</v>
      </c>
      <c r="BU11" s="1">
        <v>500</v>
      </c>
      <c r="BV11" s="1" t="s">
        <v>8</v>
      </c>
      <c r="BY11" s="34">
        <v>45874</v>
      </c>
      <c r="BZ11" t="s">
        <v>82</v>
      </c>
      <c r="CD11" t="s">
        <v>81</v>
      </c>
      <c r="CF11" s="27">
        <v>60</v>
      </c>
    </row>
    <row r="12" spans="2:88" x14ac:dyDescent="0.2">
      <c r="B12" s="1" t="s">
        <v>80</v>
      </c>
      <c r="C12" s="1" t="s">
        <v>35</v>
      </c>
      <c r="D12" s="1"/>
      <c r="E12" s="37">
        <v>3500</v>
      </c>
      <c r="F12" s="1"/>
      <c r="I12" s="1" t="s">
        <v>79</v>
      </c>
      <c r="J12" s="1"/>
      <c r="K12" s="1"/>
      <c r="L12" s="1"/>
      <c r="M12" s="15">
        <v>500</v>
      </c>
      <c r="N12" s="12"/>
      <c r="O12" s="1"/>
      <c r="P12" s="1"/>
      <c r="Q12" s="1"/>
      <c r="R12" s="1"/>
      <c r="S12" s="12"/>
      <c r="T12" s="1" t="s">
        <v>78</v>
      </c>
      <c r="U12" s="1">
        <v>2026</v>
      </c>
      <c r="V12" s="1"/>
      <c r="W12" s="1" t="s">
        <v>77</v>
      </c>
      <c r="X12" s="1" t="s">
        <v>77</v>
      </c>
      <c r="AM12" s="28" t="s">
        <v>76</v>
      </c>
      <c r="AN12" s="32" t="s">
        <v>75</v>
      </c>
      <c r="AO12" s="28" t="s">
        <v>66</v>
      </c>
      <c r="AP12" s="28"/>
      <c r="AQ12" s="31"/>
      <c r="AR12" s="30">
        <v>0.5</v>
      </c>
      <c r="AS12" s="28"/>
      <c r="AT12" s="28"/>
      <c r="AU12" s="28"/>
      <c r="AV12" s="28" t="s">
        <v>52</v>
      </c>
      <c r="AW12" s="28" t="s">
        <v>52</v>
      </c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T12" s="1" t="s">
        <v>74</v>
      </c>
      <c r="BU12" s="1">
        <v>200</v>
      </c>
      <c r="BV12" s="1" t="s">
        <v>8</v>
      </c>
      <c r="BY12" s="34">
        <v>45874</v>
      </c>
      <c r="BZ12" t="s">
        <v>73</v>
      </c>
      <c r="CD12" t="s">
        <v>72</v>
      </c>
      <c r="CF12" s="27">
        <v>70</v>
      </c>
    </row>
    <row r="13" spans="2:88" x14ac:dyDescent="0.2">
      <c r="B13" s="1" t="s">
        <v>71</v>
      </c>
      <c r="C13" s="1" t="s">
        <v>35</v>
      </c>
      <c r="D13" s="1"/>
      <c r="E13" s="15">
        <v>1000</v>
      </c>
      <c r="F13" s="1"/>
      <c r="I13" s="1"/>
      <c r="J13" s="1"/>
      <c r="K13" s="1"/>
      <c r="L13" s="1"/>
      <c r="M13" s="1"/>
      <c r="N13" s="12"/>
      <c r="O13" s="1"/>
      <c r="P13" s="1"/>
      <c r="Q13" s="1"/>
      <c r="R13" s="1"/>
      <c r="S13" s="12"/>
      <c r="T13" s="1" t="s">
        <v>70</v>
      </c>
      <c r="U13" s="21">
        <v>47606</v>
      </c>
      <c r="V13" s="1"/>
      <c r="W13" s="1" t="s">
        <v>69</v>
      </c>
      <c r="X13" s="21">
        <v>14500</v>
      </c>
      <c r="AM13" s="28" t="s">
        <v>68</v>
      </c>
      <c r="AN13" s="32" t="s">
        <v>67</v>
      </c>
      <c r="AO13" s="28" t="s">
        <v>66</v>
      </c>
      <c r="AP13" s="28"/>
      <c r="AQ13" s="31"/>
      <c r="AR13" s="30">
        <v>0.6</v>
      </c>
      <c r="AS13" s="28"/>
      <c r="AT13" s="28"/>
      <c r="AU13" s="28"/>
      <c r="AV13" s="28" t="s">
        <v>52</v>
      </c>
      <c r="AW13" s="28" t="s">
        <v>52</v>
      </c>
      <c r="AZ13" s="13"/>
      <c r="BA13" s="13"/>
      <c r="BB13" s="13"/>
      <c r="BC13" s="13"/>
      <c r="BD13" s="13"/>
      <c r="BE13" s="13"/>
      <c r="BF13" s="36">
        <f>BF10+BH10</f>
        <v>184324</v>
      </c>
      <c r="BG13" s="13"/>
      <c r="BH13" s="35">
        <f>BH10-BH11</f>
        <v>151410.75</v>
      </c>
      <c r="BI13" s="13" t="s">
        <v>65</v>
      </c>
      <c r="BJ13" s="13" t="s">
        <v>64</v>
      </c>
      <c r="BT13" s="1" t="s">
        <v>63</v>
      </c>
      <c r="BU13" s="1">
        <v>200</v>
      </c>
      <c r="BV13" s="1" t="s">
        <v>8</v>
      </c>
      <c r="BY13" s="34">
        <v>45874</v>
      </c>
      <c r="BZ13" t="s">
        <v>62</v>
      </c>
      <c r="CB13" t="s">
        <v>61</v>
      </c>
      <c r="CD13" t="s">
        <v>60</v>
      </c>
      <c r="CF13" s="27">
        <v>1800</v>
      </c>
    </row>
    <row r="14" spans="2:88" x14ac:dyDescent="0.2">
      <c r="B14" s="1" t="s">
        <v>59</v>
      </c>
      <c r="C14" s="1" t="s">
        <v>35</v>
      </c>
      <c r="D14" s="33">
        <v>46154</v>
      </c>
      <c r="E14" s="15">
        <v>2000</v>
      </c>
      <c r="F14" s="1"/>
      <c r="I14" s="1"/>
      <c r="J14" s="1"/>
      <c r="K14" s="1"/>
      <c r="L14" s="1"/>
      <c r="M14" s="1"/>
      <c r="N14" s="12"/>
      <c r="O14" s="1" t="s">
        <v>58</v>
      </c>
      <c r="P14" s="1" t="s">
        <v>57</v>
      </c>
      <c r="Q14" s="1"/>
      <c r="R14" s="1"/>
      <c r="S14" s="12"/>
      <c r="T14" s="1" t="s">
        <v>56</v>
      </c>
      <c r="U14" s="21">
        <v>47606</v>
      </c>
      <c r="V14" s="1"/>
      <c r="W14" s="1" t="s">
        <v>55</v>
      </c>
      <c r="X14" s="21">
        <v>5500</v>
      </c>
      <c r="AM14" s="28" t="s">
        <v>54</v>
      </c>
      <c r="AN14" s="32" t="s">
        <v>53</v>
      </c>
      <c r="AO14" s="28" t="s">
        <v>45</v>
      </c>
      <c r="AP14" s="28"/>
      <c r="AQ14" s="31"/>
      <c r="AR14" s="30">
        <v>0</v>
      </c>
      <c r="AS14" s="28"/>
      <c r="AT14" s="28"/>
      <c r="AU14" s="29"/>
      <c r="AV14" s="28" t="s">
        <v>52</v>
      </c>
      <c r="AW14" s="28" t="s">
        <v>52</v>
      </c>
      <c r="AZ14" s="13"/>
      <c r="BA14" s="13"/>
      <c r="BB14" s="13"/>
      <c r="BC14" s="13"/>
      <c r="BD14" s="13"/>
      <c r="BE14" s="13"/>
      <c r="BF14" s="13"/>
      <c r="BG14" s="13"/>
      <c r="BH14" s="13"/>
      <c r="BI14" s="20">
        <v>46230</v>
      </c>
      <c r="BJ14" s="19">
        <v>86781.75</v>
      </c>
      <c r="BT14" s="1" t="s">
        <v>51</v>
      </c>
      <c r="BU14" s="1">
        <v>200</v>
      </c>
      <c r="BV14" s="1" t="s">
        <v>8</v>
      </c>
      <c r="CF14" s="27"/>
    </row>
    <row r="15" spans="2:88" x14ac:dyDescent="0.2">
      <c r="B15" s="1" t="s">
        <v>50</v>
      </c>
      <c r="C15" s="1"/>
      <c r="D15" s="1"/>
      <c r="E15" s="15">
        <v>2000</v>
      </c>
      <c r="F15" s="1"/>
      <c r="I15" s="1"/>
      <c r="J15" s="1"/>
      <c r="K15" s="1"/>
      <c r="L15" s="1"/>
      <c r="M15" s="1"/>
      <c r="N15" s="12"/>
      <c r="O15" s="1"/>
      <c r="P15" s="1"/>
      <c r="Q15" s="1"/>
      <c r="R15" s="1"/>
      <c r="S15" s="12"/>
      <c r="T15" s="1" t="s">
        <v>49</v>
      </c>
      <c r="U15" s="21">
        <v>47606</v>
      </c>
      <c r="V15" s="1"/>
      <c r="W15" s="1" t="s">
        <v>48</v>
      </c>
      <c r="X15" s="21">
        <f>U17*0.05</f>
        <v>9322.84</v>
      </c>
      <c r="AM15" s="25" t="s">
        <v>47</v>
      </c>
      <c r="AN15" s="26" t="s">
        <v>46</v>
      </c>
      <c r="AO15" s="25" t="s">
        <v>45</v>
      </c>
      <c r="AP15" s="25"/>
      <c r="AQ15" s="24"/>
      <c r="AR15" s="23">
        <v>0</v>
      </c>
      <c r="AS15" s="22"/>
      <c r="AT15" s="22"/>
      <c r="AU15" s="22"/>
      <c r="AV15" s="22"/>
      <c r="AW15" s="22"/>
      <c r="AZ15" s="13"/>
      <c r="BA15" s="13"/>
      <c r="BB15" s="13"/>
      <c r="BC15" s="13"/>
      <c r="BD15" s="13"/>
      <c r="BE15" s="13"/>
      <c r="BF15" s="13"/>
      <c r="BG15" s="13"/>
      <c r="BH15" s="13"/>
      <c r="BI15" s="20">
        <v>46233</v>
      </c>
      <c r="BJ15" s="19">
        <v>45606</v>
      </c>
      <c r="BT15" s="1" t="s">
        <v>44</v>
      </c>
      <c r="BU15" s="1">
        <v>200</v>
      </c>
      <c r="BV15" s="1" t="s">
        <v>8</v>
      </c>
    </row>
    <row r="16" spans="2:88" x14ac:dyDescent="0.2">
      <c r="B16" s="1" t="s">
        <v>43</v>
      </c>
      <c r="C16" s="1"/>
      <c r="D16" s="1"/>
      <c r="E16" s="15">
        <v>160</v>
      </c>
      <c r="F16" s="1"/>
      <c r="I16" s="1"/>
      <c r="J16" s="1"/>
      <c r="K16" s="1"/>
      <c r="L16" s="1"/>
      <c r="M16" s="1"/>
      <c r="N16" s="12"/>
      <c r="O16" s="1"/>
      <c r="P16" s="1"/>
      <c r="Q16" s="1"/>
      <c r="R16" s="1"/>
      <c r="S16" s="12"/>
      <c r="T16" s="1" t="s">
        <v>42</v>
      </c>
      <c r="U16" s="21">
        <f>U15-V16</f>
        <v>43638.8</v>
      </c>
      <c r="V16" s="14">
        <f>X6*2</f>
        <v>3967.2</v>
      </c>
      <c r="W16" s="1"/>
      <c r="X16" s="1"/>
      <c r="AZ16" s="13"/>
      <c r="BA16" s="13"/>
      <c r="BB16" s="13"/>
      <c r="BC16" s="13"/>
      <c r="BD16" s="13"/>
      <c r="BE16" s="13"/>
      <c r="BF16" s="13"/>
      <c r="BG16" s="13"/>
      <c r="BH16" s="13"/>
      <c r="BI16" s="20">
        <v>46236</v>
      </c>
      <c r="BJ16" s="19">
        <v>38260</v>
      </c>
      <c r="BT16" s="1" t="s">
        <v>41</v>
      </c>
      <c r="BU16" s="1">
        <v>200</v>
      </c>
      <c r="BV16" s="1" t="s">
        <v>8</v>
      </c>
    </row>
    <row r="17" spans="2:74" x14ac:dyDescent="0.2">
      <c r="B17" s="1" t="s">
        <v>40</v>
      </c>
      <c r="C17" s="1"/>
      <c r="D17" s="1"/>
      <c r="E17" s="15">
        <v>5000</v>
      </c>
      <c r="F17" s="1"/>
      <c r="I17" s="1"/>
      <c r="J17" s="1"/>
      <c r="K17" s="1"/>
      <c r="L17" s="1"/>
      <c r="M17" s="1"/>
      <c r="N17" s="12"/>
      <c r="O17" s="1" t="s">
        <v>39</v>
      </c>
      <c r="P17" s="1" t="s">
        <v>38</v>
      </c>
      <c r="Q17" s="1"/>
      <c r="R17" s="1"/>
      <c r="S17" s="12"/>
      <c r="T17" s="1"/>
      <c r="U17" s="18">
        <f>SUM(U13:U16)</f>
        <v>186456.8</v>
      </c>
      <c r="V17" s="1"/>
      <c r="W17" s="1"/>
      <c r="X17" s="18">
        <f>SUM(X13:X15)</f>
        <v>29322.84</v>
      </c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7">
        <f>SUM(BJ14:BJ16)</f>
        <v>170647.75</v>
      </c>
      <c r="BT17" s="1"/>
      <c r="BU17" s="2">
        <f>SUM(BU11:BU16)</f>
        <v>1500</v>
      </c>
      <c r="BV17" s="1"/>
    </row>
    <row r="18" spans="2:74" x14ac:dyDescent="0.2">
      <c r="B18" s="1" t="s">
        <v>37</v>
      </c>
      <c r="C18" s="16" t="s">
        <v>35</v>
      </c>
      <c r="D18" s="16">
        <v>46167</v>
      </c>
      <c r="E18" s="15">
        <v>1500</v>
      </c>
      <c r="F18" s="1"/>
      <c r="I18" s="1"/>
      <c r="J18" s="1"/>
      <c r="K18" s="1"/>
      <c r="L18" s="1"/>
      <c r="M18" s="1"/>
      <c r="N18" s="12"/>
      <c r="O18" s="1"/>
      <c r="P18" s="1"/>
      <c r="Q18" s="1"/>
      <c r="R18" s="1"/>
      <c r="S18" s="12"/>
      <c r="T18" s="1"/>
      <c r="U18" s="1"/>
      <c r="V18" s="1"/>
      <c r="W18" s="1"/>
      <c r="X18" s="1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T18" s="1"/>
      <c r="BU18" s="1"/>
      <c r="BV18" s="1"/>
    </row>
    <row r="19" spans="2:74" x14ac:dyDescent="0.2">
      <c r="B19" s="1" t="s">
        <v>36</v>
      </c>
      <c r="C19" s="1" t="s">
        <v>35</v>
      </c>
      <c r="D19" s="1"/>
      <c r="E19" s="15">
        <v>9300</v>
      </c>
      <c r="F19" s="1"/>
      <c r="I19" s="1"/>
      <c r="J19" s="1"/>
      <c r="K19" s="1"/>
      <c r="L19" s="1"/>
      <c r="M19" s="1"/>
      <c r="N19" s="12"/>
      <c r="O19" s="1" t="s">
        <v>34</v>
      </c>
      <c r="P19" s="1" t="s">
        <v>33</v>
      </c>
      <c r="Q19" s="1"/>
      <c r="R19" s="1"/>
      <c r="S19" s="12"/>
      <c r="T19" s="1"/>
      <c r="U19" s="14"/>
      <c r="V19" s="1"/>
      <c r="W19" s="1"/>
      <c r="X19" s="1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T19" s="1" t="s">
        <v>32</v>
      </c>
      <c r="BU19" s="1">
        <v>200</v>
      </c>
      <c r="BV19" s="1" t="s">
        <v>8</v>
      </c>
    </row>
    <row r="20" spans="2:74" x14ac:dyDescent="0.2">
      <c r="B20" s="1"/>
      <c r="C20" s="1"/>
      <c r="D20" s="1"/>
      <c r="E20" s="1"/>
      <c r="F20" s="1"/>
      <c r="I20" s="1"/>
      <c r="J20" s="1"/>
      <c r="K20" s="1"/>
      <c r="L20" s="1"/>
      <c r="M20" s="1"/>
      <c r="N20" s="12"/>
      <c r="O20" s="1"/>
      <c r="P20" s="1"/>
      <c r="Q20" s="1"/>
      <c r="R20" s="1"/>
      <c r="S20" s="12"/>
      <c r="T20" s="1"/>
      <c r="U20" s="1"/>
      <c r="V20" s="1"/>
      <c r="W20" s="1"/>
      <c r="X20" s="1"/>
      <c r="BT20" s="1" t="s">
        <v>31</v>
      </c>
      <c r="BU20" s="1">
        <v>200</v>
      </c>
      <c r="BV20" s="1" t="s">
        <v>8</v>
      </c>
    </row>
    <row r="21" spans="2:74" x14ac:dyDescent="0.2">
      <c r="B21" s="1"/>
      <c r="C21" s="1"/>
      <c r="D21" s="1"/>
      <c r="E21" s="1"/>
      <c r="F21" s="1"/>
      <c r="I21" s="1"/>
      <c r="J21" s="1"/>
      <c r="K21" s="1"/>
      <c r="L21" s="1"/>
      <c r="M21" s="1"/>
      <c r="N21" s="12"/>
      <c r="O21" s="1"/>
      <c r="P21" s="1"/>
      <c r="Q21" s="1"/>
      <c r="R21" s="1"/>
      <c r="S21" s="12"/>
      <c r="T21" s="1"/>
      <c r="U21" s="1"/>
      <c r="V21" s="1"/>
      <c r="W21" s="1"/>
      <c r="X21" s="1"/>
      <c r="BT21" s="1" t="s">
        <v>30</v>
      </c>
      <c r="BU21" s="1">
        <v>200</v>
      </c>
      <c r="BV21" s="1" t="s">
        <v>8</v>
      </c>
    </row>
    <row r="22" spans="2:74" x14ac:dyDescent="0.2">
      <c r="B22" s="1"/>
      <c r="C22" s="1"/>
      <c r="D22" s="1"/>
      <c r="E22" s="1"/>
      <c r="F22" s="1"/>
      <c r="I22" s="1"/>
      <c r="J22" s="1"/>
      <c r="K22" s="1"/>
      <c r="L22" s="1"/>
      <c r="M22" s="1"/>
      <c r="N22" s="12"/>
      <c r="O22" s="1"/>
      <c r="P22" s="1"/>
      <c r="Q22" s="1"/>
      <c r="R22" s="1"/>
      <c r="S22" s="12"/>
      <c r="T22" s="1"/>
      <c r="U22" s="1"/>
      <c r="V22" s="1"/>
      <c r="W22" s="1"/>
      <c r="X22" s="1"/>
      <c r="BT22" s="1" t="s">
        <v>29</v>
      </c>
      <c r="BU22" s="1">
        <v>200</v>
      </c>
      <c r="BV22" s="1" t="s">
        <v>8</v>
      </c>
    </row>
    <row r="23" spans="2:74" ht="19" x14ac:dyDescent="0.25">
      <c r="S23" s="12"/>
      <c r="U23" s="10" t="s">
        <v>28</v>
      </c>
      <c r="V23" s="11"/>
      <c r="W23" s="10" t="s">
        <v>27</v>
      </c>
      <c r="X23" s="10" t="s">
        <v>26</v>
      </c>
      <c r="BT23" s="1" t="s">
        <v>25</v>
      </c>
      <c r="BU23" s="1">
        <v>200</v>
      </c>
      <c r="BV23" s="1" t="s">
        <v>8</v>
      </c>
    </row>
    <row r="24" spans="2:74" ht="19" customHeight="1" x14ac:dyDescent="0.3">
      <c r="E24" s="9">
        <f>SUM(E6:E19)</f>
        <v>58960</v>
      </c>
      <c r="M24" s="9">
        <f>SUM(M5:M22)</f>
        <v>30000</v>
      </c>
      <c r="N24" s="7">
        <f>M24+E24</f>
        <v>88960</v>
      </c>
      <c r="U24" s="7">
        <f>U17</f>
        <v>186456.8</v>
      </c>
      <c r="W24" s="6">
        <f>X17</f>
        <v>29322.84</v>
      </c>
      <c r="X24" s="7">
        <v>86781.75</v>
      </c>
      <c r="Z24" s="3"/>
      <c r="BT24" s="1" t="s">
        <v>24</v>
      </c>
      <c r="BU24" s="1">
        <v>200</v>
      </c>
      <c r="BV24" s="1" t="s">
        <v>8</v>
      </c>
    </row>
    <row r="25" spans="2:74" x14ac:dyDescent="0.2">
      <c r="BT25" s="1" t="s">
        <v>23</v>
      </c>
      <c r="BU25" s="1">
        <v>200</v>
      </c>
      <c r="BV25" s="1" t="s">
        <v>8</v>
      </c>
    </row>
    <row r="26" spans="2:74" ht="26" x14ac:dyDescent="0.3">
      <c r="U26" s="7">
        <f>U24-W24</f>
        <v>157133.96</v>
      </c>
      <c r="W26" s="8">
        <f>U26-X24</f>
        <v>70352.209999999992</v>
      </c>
      <c r="X26" s="7"/>
      <c r="BT26" s="1" t="s">
        <v>22</v>
      </c>
      <c r="BU26" s="1">
        <v>200</v>
      </c>
      <c r="BV26" s="1" t="s">
        <v>8</v>
      </c>
    </row>
    <row r="27" spans="2:74" x14ac:dyDescent="0.2">
      <c r="BT27" s="1"/>
      <c r="BU27" s="2">
        <f>SUM(BU19:BU26)</f>
        <v>1600</v>
      </c>
      <c r="BV27" s="1"/>
    </row>
    <row r="28" spans="2:74" ht="26" x14ac:dyDescent="0.3">
      <c r="X28" s="6"/>
      <c r="BT28" s="1"/>
      <c r="BU28" s="1"/>
      <c r="BV28" s="1"/>
    </row>
    <row r="29" spans="2:74" x14ac:dyDescent="0.2">
      <c r="BT29" s="1" t="s">
        <v>21</v>
      </c>
      <c r="BU29" s="1">
        <v>250</v>
      </c>
      <c r="BV29" s="1" t="s">
        <v>8</v>
      </c>
    </row>
    <row r="30" spans="2:74" x14ac:dyDescent="0.2">
      <c r="W30" t="s">
        <v>20</v>
      </c>
      <c r="X30">
        <v>500</v>
      </c>
      <c r="BT30" s="1" t="s">
        <v>19</v>
      </c>
      <c r="BU30" s="1">
        <v>250</v>
      </c>
      <c r="BV30" s="1" t="s">
        <v>8</v>
      </c>
    </row>
    <row r="31" spans="2:74" x14ac:dyDescent="0.2">
      <c r="W31" t="s">
        <v>18</v>
      </c>
      <c r="X31">
        <v>260</v>
      </c>
      <c r="BT31" s="1"/>
      <c r="BU31" s="2">
        <f>SUM(BU29:BU30)</f>
        <v>500</v>
      </c>
      <c r="BV31" s="1"/>
    </row>
    <row r="32" spans="2:74" x14ac:dyDescent="0.2">
      <c r="W32" t="s">
        <v>17</v>
      </c>
      <c r="X32">
        <v>1800</v>
      </c>
      <c r="BT32" s="1"/>
      <c r="BU32" s="1"/>
      <c r="BV32" s="1"/>
    </row>
    <row r="33" spans="23:74" x14ac:dyDescent="0.2">
      <c r="W33" t="s">
        <v>16</v>
      </c>
      <c r="X33">
        <v>380</v>
      </c>
      <c r="BT33" s="1" t="s">
        <v>15</v>
      </c>
      <c r="BU33" s="1"/>
      <c r="BV33" s="1"/>
    </row>
    <row r="34" spans="23:74" x14ac:dyDescent="0.2">
      <c r="W34" t="s">
        <v>14</v>
      </c>
      <c r="X34">
        <v>670</v>
      </c>
      <c r="BT34" s="1" t="s">
        <v>13</v>
      </c>
      <c r="BU34" s="1">
        <v>760</v>
      </c>
      <c r="BV34" s="1" t="s">
        <v>8</v>
      </c>
    </row>
    <row r="35" spans="23:74" x14ac:dyDescent="0.2">
      <c r="W35" t="s">
        <v>12</v>
      </c>
      <c r="X35">
        <v>1000</v>
      </c>
      <c r="BT35" s="1" t="s">
        <v>11</v>
      </c>
      <c r="BU35" s="1">
        <v>500</v>
      </c>
      <c r="BV35" s="1" t="s">
        <v>8</v>
      </c>
    </row>
    <row r="36" spans="23:74" x14ac:dyDescent="0.2">
      <c r="W36" t="s">
        <v>10</v>
      </c>
      <c r="X36">
        <v>3100</v>
      </c>
      <c r="BT36" s="1" t="s">
        <v>9</v>
      </c>
      <c r="BU36" s="1">
        <v>577</v>
      </c>
      <c r="BV36" s="1" t="s">
        <v>8</v>
      </c>
    </row>
    <row r="37" spans="23:74" x14ac:dyDescent="0.2">
      <c r="BT37" s="1"/>
      <c r="BU37" s="2">
        <f>SUM(BU34:BU36)</f>
        <v>1837</v>
      </c>
      <c r="BV37" s="1"/>
    </row>
    <row r="38" spans="23:74" x14ac:dyDescent="0.2">
      <c r="X38" s="5">
        <f>SUM(X30:X37)</f>
        <v>7710</v>
      </c>
      <c r="BT38" s="1"/>
      <c r="BU38" s="1"/>
      <c r="BV38" s="1"/>
    </row>
    <row r="39" spans="23:74" x14ac:dyDescent="0.2">
      <c r="X39" s="3">
        <f>X24-70000</f>
        <v>16781.75</v>
      </c>
      <c r="BT39" s="1" t="s">
        <v>7</v>
      </c>
      <c r="BU39" s="1">
        <v>2000</v>
      </c>
      <c r="BV39" s="1" t="s">
        <v>2</v>
      </c>
    </row>
    <row r="40" spans="23:74" x14ac:dyDescent="0.2">
      <c r="X40" s="4">
        <f>X39-X38</f>
        <v>9071.75</v>
      </c>
      <c r="BT40" s="1" t="s">
        <v>6</v>
      </c>
      <c r="BU40" s="1">
        <v>1500</v>
      </c>
      <c r="BV40" s="1" t="s">
        <v>2</v>
      </c>
    </row>
    <row r="41" spans="23:74" x14ac:dyDescent="0.2">
      <c r="X41" s="3">
        <f>X40-3000</f>
        <v>6071.75</v>
      </c>
      <c r="BT41" s="1" t="s">
        <v>5</v>
      </c>
      <c r="BU41" s="1">
        <v>400</v>
      </c>
      <c r="BV41" s="1" t="s">
        <v>2</v>
      </c>
    </row>
    <row r="42" spans="23:74" x14ac:dyDescent="0.2">
      <c r="BT42" s="1" t="s">
        <v>4</v>
      </c>
      <c r="BU42" s="1">
        <v>700</v>
      </c>
      <c r="BV42" s="1" t="s">
        <v>2</v>
      </c>
    </row>
    <row r="43" spans="23:74" x14ac:dyDescent="0.2">
      <c r="BT43" s="1" t="s">
        <v>3</v>
      </c>
      <c r="BU43" s="1">
        <v>200</v>
      </c>
      <c r="BV43" s="1" t="s">
        <v>2</v>
      </c>
    </row>
    <row r="44" spans="23:74" x14ac:dyDescent="0.2">
      <c r="BT44" s="1"/>
      <c r="BU44" s="2">
        <f>SUM(BU39:BU43)</f>
        <v>4800</v>
      </c>
      <c r="BV44" s="1"/>
    </row>
    <row r="45" spans="23:74" x14ac:dyDescent="0.2">
      <c r="BT45" s="1"/>
      <c r="BU45" s="2"/>
      <c r="BV45" s="1"/>
    </row>
    <row r="46" spans="23:74" x14ac:dyDescent="0.2">
      <c r="BT46" s="1" t="s">
        <v>1</v>
      </c>
      <c r="BU46" s="2">
        <v>5000</v>
      </c>
      <c r="BV46" s="1"/>
    </row>
    <row r="47" spans="23:74" x14ac:dyDescent="0.2">
      <c r="BT47" s="1"/>
      <c r="BU47" s="1"/>
      <c r="BV47" s="1"/>
    </row>
    <row r="48" spans="23:74" x14ac:dyDescent="0.2">
      <c r="BT48" s="2" t="s">
        <v>0</v>
      </c>
      <c r="BU48" s="2">
        <f>BU44+BU37+BU31+BU27+BU17+BU9+BU46</f>
        <v>19237</v>
      </c>
      <c r="BV48" s="1"/>
    </row>
  </sheetData>
  <mergeCells count="7">
    <mergeCell ref="AM10:AW10"/>
    <mergeCell ref="B4:F4"/>
    <mergeCell ref="I4:M4"/>
    <mergeCell ref="O4:R4"/>
    <mergeCell ref="AG5:AG7"/>
    <mergeCell ref="AG8:AK8"/>
    <mergeCell ref="AG9:AG1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FARMS 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Asante</dc:creator>
  <cp:lastModifiedBy>Benedict Asante</cp:lastModifiedBy>
  <dcterms:created xsi:type="dcterms:W3CDTF">2026-08-07T16:38:52Z</dcterms:created>
  <dcterms:modified xsi:type="dcterms:W3CDTF">2026-08-07T16:39:24Z</dcterms:modified>
</cp:coreProperties>
</file>